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Cohort" sheetId="4" r:id="rId8"/>
    <sheet state="visible" name="Retencion x Pais" sheetId="5" r:id="rId9"/>
    <sheet state="visible" name="Copy_Embudo General" sheetId="6" r:id="rId10"/>
    <sheet state="visible" name="Copy of Embudo General x Pais" sheetId="7" r:id="rId11"/>
    <sheet state="visible" name="Copy of Retencion x Cohort" sheetId="8" r:id="rId12"/>
    <sheet state="visible" name="Copy of Retencion x Pais" sheetId="9" r:id="rId13"/>
  </sheets>
  <definedNames>
    <definedName hidden="1" localSheetId="4" name="_xlnm._FilterDatabase">'Retencion x Pais'!$A$1:$J$11</definedName>
  </definedNames>
  <calcPr/>
</workbook>
</file>

<file path=xl/sharedStrings.xml><?xml version="1.0" encoding="utf-8"?>
<sst xmlns="http://schemas.openxmlformats.org/spreadsheetml/2006/main" count="149" uniqueCount="49">
  <si>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</si>
  <si>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</si>
  <si>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</si>
  <si>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</si>
  <si>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 La caída entre etapas se calculó restando el porcentaje de la siguiente etapa al porcentaje de la etapa anterior.
El paso donde esta resta es más grande es donde se pierden más usuarios.
-Se calculó el porcentaje acumulado de usuarios que llego de un paso a otro dentro de cada país,  resté el porcentaje de una etapa menos el porcentaje de la siguiente.</t>
  </si>
  <si>
    <r>
      <rPr>
        <rFont val="Arial"/>
        <color theme="1"/>
      </rPr>
      <t xml:space="preserve">-La mayor pérdida de usuarios del embudo ocurre en el paso de exploración a intención de compra </t>
    </r>
    <r>
      <rPr>
        <rFont val="Arial"/>
        <b/>
        <color theme="1"/>
      </rPr>
      <t>select item - add to cart</t>
    </r>
    <r>
      <rPr>
        <rFont val="Arial"/>
        <color theme="1"/>
      </rPr>
      <t>.
-En todos los países, el mayor abandono ocurre antes de que el usuario agregue el producto al carrito.</t>
    </r>
  </si>
  <si>
    <t>-la principal fricción está en el paso donde el usuario decide si realmente quiere comprar.
-Muchos usuarios ven los productos pero pocos realmente estan seguros si quieren comprar.</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</si>
  <si>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</si>
  <si>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-La retención de usuarios se evaluó a lo largo del tiempo utilizando porcentajes de retención por cohort. Para facilitar la interpretación, se aplicó un formato condicional por color, donde los valores altos indican buena retención y los valores bajos evidencian caídas significativas.
-</t>
  </si>
  <si>
    <r>
      <rPr>
        <rFont val="Arial"/>
        <color theme="1"/>
      </rPr>
      <t>-La retención inicial (</t>
    </r>
    <r>
      <rPr>
        <rFont val="Arial"/>
        <b/>
        <color theme="1"/>
      </rPr>
      <t xml:space="preserve">D7) </t>
    </r>
    <r>
      <rPr>
        <rFont val="Arial"/>
        <color theme="1"/>
      </rPr>
      <t xml:space="preserve">es muy alta, lo que indica buen onboarding.
A partir de </t>
    </r>
    <r>
      <rPr>
        <rFont val="Arial"/>
        <b/>
        <color theme="1"/>
      </rPr>
      <t>D14 y D21</t>
    </r>
    <r>
      <rPr>
        <rFont val="Arial"/>
        <color theme="1"/>
      </rPr>
      <t xml:space="preserve"> se observa una caída significativa, típica en productos con uso ocasional.
En </t>
    </r>
    <r>
      <rPr>
        <rFont val="Arial"/>
        <b/>
        <color theme="1"/>
      </rPr>
      <t>D28</t>
    </r>
    <r>
      <rPr>
        <rFont val="Arial"/>
        <color theme="1"/>
      </rPr>
      <t>, la retención es muy baja, lo que sugiere que solo un pequeño grupo de usuarios se mantiene activo a largo plazo.</t>
    </r>
  </si>
  <si>
    <t xml:space="preserve">-Retenemos bien a los usuarios en el corto plazo, pero la retención a largo plazo es limitada y representa una oportunidad clara de mejora
-La adquisición inicial funciona bien en la mayoría de los países, con ligeras diferencias, México y Brasil retienen mejor a los usuarios después de las primeras dos semanas.
En contraste, países como Bolivia, Ecuador y Paraguay muestran una caída más pronunciada desde etapas tempranas, y en general, todos los países presentan una fuerte disminución de usuarios activos hacia el día 28.
</t>
  </si>
  <si>
    <t>Reflexión personal</t>
  </si>
  <si>
    <t xml:space="preserve">- ¿Qué etapa mejorarías primero?
</t>
  </si>
  <si>
    <r>
      <rPr>
        <rFont val="Arial"/>
        <b/>
        <color theme="1"/>
      </rPr>
      <t>select_item - add_to_cart:</t>
    </r>
    <r>
      <rPr>
        <rFont val="Arial"/>
        <color theme="1"/>
      </rPr>
      <t xml:space="preserve">
 Es donde ocurre la mayor caída porcentual de usuarios en el embudo general.
A pesar de que muchos usuarios exploran productos (select_item), muy pocos dan el siguiente paso de intención clara (add_to_cart).
Esta caída se repite de forma consistente en todos los países, lo que indica un problema estructural y no local.</t>
    </r>
  </si>
  <si>
    <t>Mejorar esta etapa tendría el mayor impacto inmediato en conversiones posteriores, ya que cualquier mejora se propaga al resto del embudo.
-Mejorar claridad de precios y costos finales
-Optimizar fichas de producto
-Mostrar beneficios claros (envío, devoluciones, confianza)</t>
  </si>
  <si>
    <t>- ¿Qué aprendiste sobre el comportamiento del usuario?</t>
  </si>
  <si>
    <t>El interés inicial es alto, pero la intención real es baja.
La mayoría de los usuarios explora productos, pero solo una fracción pequeña avanza.
Esto sugiere curiosidad más que intención de compra.</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</si>
  <si>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</si>
  <si>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</si>
  <si>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</si>
  <si>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</si>
  <si>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</si>
  <si>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</si>
  <si>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</si>
  <si>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</si>
  <si>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</si>
  <si>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</si>
  <si>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</si>
  <si>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</si>
  <si>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</si>
  <si>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</si>
  <si>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</si>
  <si>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</si>
  <si>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</si>
  <si>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cohort</t>
  </si>
  <si>
    <t>retention_d7_pct</t>
  </si>
  <si>
    <t>retention_d14_pct</t>
  </si>
  <si>
    <t>retention_d21_pct</t>
  </si>
  <si>
    <t>retention_d28_pct</t>
  </si>
  <si>
    <t>Etapas del funnel</t>
  </si>
  <si>
    <t># de usuarios</t>
  </si>
  <si>
    <t>Caida VS etapa anterior</t>
  </si>
  <si>
    <t>Mayor caida</t>
  </si>
  <si>
    <t>Etapa de mayor caida</t>
  </si>
  <si>
    <t>-</t>
  </si>
  <si>
    <t>CAIDA ENTRE ETAPAS PARA CADA PAIS</t>
  </si>
  <si>
    <t>Pais de mayor caida</t>
  </si>
  <si>
    <t>Promedios de retención (ene - jun 2025)</t>
  </si>
  <si>
    <t>Promedio de retención por pais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</si>
</sst>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
    <numFmt numFmtId="165" formatCode="yyyy-mm-dd"/>
    <numFmt numFmtId="166" formatCode="0.0"/>
  </numFmts>
  <fonts count="6">
    <font>
      <sz val="10.0"/>
      <color rgb="FF000000"/>
      <name val="Arial"/>
      <scheme val="minor"/>
    </font>
    <font>
      <color theme="1"/>
      <name val="Arial"/>
      <scheme val="minor"/>
    </font>
    <font>
      <b/>
      <sz val="12.0"/>
      <color theme="1"/>
      <name val="Arial"/>
      <scheme val="minor"/>
    </font>
    <font>
      <b/>
      <color theme="1"/>
      <name val="Arial"/>
      <scheme val="minor"/>
    </font>
    <font>
      <sz val="10.0"/>
      <color theme="1"/>
      <name val="Arial"/>
      <scheme val="minor"/>
    </font>
    <font>
      <sz val="9.0"/>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D0E0E3"/>
        <bgColor rgb="FFD0E0E3"/>
      </patternFill>
    </fill>
    <fill>
      <patternFill patternType="solid">
        <fgColor rgb="FFEA9999"/>
        <bgColor rgb="FFEA9999"/>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vertical="top" wrapText="1"/>
    </xf>
    <xf borderId="0" fillId="0" fontId="3" numFmtId="0" xfId="0" applyAlignment="1" applyFont="1">
      <alignment readingOrder="0" shrinkToFit="0" wrapText="1"/>
    </xf>
    <xf borderId="0" fillId="0" fontId="3"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1" fillId="0" fontId="3" numFmtId="0" xfId="0" applyAlignment="1" applyBorder="1" applyFont="1">
      <alignment horizontal="center" readingOrder="0"/>
    </xf>
    <xf borderId="2" fillId="0" fontId="3" numFmtId="0" xfId="0" applyAlignment="1" applyBorder="1" applyFont="1">
      <alignment horizontal="center" readingOrder="0"/>
    </xf>
    <xf borderId="0" fillId="2" fontId="3" numFmtId="0" xfId="0" applyAlignment="1" applyFill="1" applyFont="1">
      <alignment horizontal="center" readingOrder="0"/>
    </xf>
    <xf borderId="3" fillId="3" fontId="3" numFmtId="0" xfId="0" applyAlignment="1" applyBorder="1" applyFill="1" applyFont="1">
      <alignment horizontal="center" readingOrder="0" shrinkToFit="0" wrapText="1"/>
    </xf>
    <xf borderId="4" fillId="3" fontId="3" numFmtId="0" xfId="0" applyAlignment="1" applyBorder="1" applyFont="1">
      <alignment horizontal="center" readingOrder="0" shrinkToFit="0" wrapText="1"/>
    </xf>
    <xf borderId="1" fillId="0" fontId="3" numFmtId="0" xfId="0" applyAlignment="1" applyBorder="1" applyFont="1">
      <alignment readingOrder="0"/>
    </xf>
    <xf borderId="1" fillId="0" fontId="1" numFmtId="0" xfId="0" applyAlignment="1" applyBorder="1" applyFont="1">
      <alignment readingOrder="0"/>
    </xf>
    <xf borderId="2" fillId="0" fontId="3" numFmtId="0" xfId="0" applyAlignment="1" applyBorder="1" applyFont="1">
      <alignment horizontal="right" readingOrder="0"/>
    </xf>
    <xf borderId="0" fillId="2" fontId="3" numFmtId="2" xfId="0" applyAlignment="1" applyFont="1" applyNumberFormat="1">
      <alignment readingOrder="0"/>
    </xf>
    <xf borderId="5" fillId="3" fontId="3" numFmtId="2" xfId="0" applyAlignment="1" applyBorder="1" applyFont="1" applyNumberFormat="1">
      <alignment readingOrder="0" shrinkToFit="0" wrapText="1"/>
    </xf>
    <xf borderId="6" fillId="3" fontId="3" numFmtId="0" xfId="0" applyAlignment="1" applyBorder="1" applyFont="1">
      <alignment readingOrder="0" shrinkToFit="0" wrapText="1"/>
    </xf>
    <xf borderId="2" fillId="4" fontId="1" numFmtId="0" xfId="0" applyAlignment="1" applyBorder="1" applyFill="1" applyFont="1">
      <alignment readingOrder="0"/>
    </xf>
    <xf borderId="0" fillId="2" fontId="1" numFmtId="0" xfId="0" applyFont="1"/>
    <xf borderId="2" fillId="0" fontId="1" numFmtId="0" xfId="0" applyAlignment="1" applyBorder="1" applyFont="1">
      <alignment readingOrder="0"/>
    </xf>
    <xf borderId="3" fillId="3" fontId="3" numFmtId="0" xfId="0" applyAlignment="1" applyBorder="1" applyFont="1">
      <alignment horizontal="center" readingOrder="0" shrinkToFit="0" vertical="top" wrapText="1"/>
    </xf>
    <xf borderId="4" fillId="3" fontId="3" numFmtId="0" xfId="0" applyAlignment="1" applyBorder="1" applyFont="1">
      <alignment horizontal="center" readingOrder="0" shrinkToFit="0" vertical="top" wrapText="1"/>
    </xf>
    <xf borderId="0" fillId="0" fontId="1" numFmtId="2" xfId="0" applyFont="1" applyNumberFormat="1"/>
    <xf borderId="5" fillId="3" fontId="3" numFmtId="2" xfId="0" applyAlignment="1" applyBorder="1" applyFont="1" applyNumberFormat="1">
      <alignment readingOrder="0" shrinkToFit="0" vertical="top" wrapText="1"/>
    </xf>
    <xf borderId="6" fillId="3" fontId="3" numFmtId="0" xfId="0" applyAlignment="1" applyBorder="1" applyFont="1">
      <alignment readingOrder="0" shrinkToFit="0" vertical="top" wrapText="1"/>
    </xf>
    <xf borderId="0" fillId="4" fontId="1" numFmtId="2" xfId="0" applyFont="1" applyNumberFormat="1"/>
    <xf borderId="0" fillId="0" fontId="4" numFmtId="0" xfId="0" applyAlignment="1" applyFont="1">
      <alignment horizontal="center" readingOrder="0" vertical="center"/>
    </xf>
    <xf borderId="0" fillId="0" fontId="3" numFmtId="0" xfId="0" applyAlignment="1" applyFont="1">
      <alignment horizontal="center" readingOrder="0"/>
    </xf>
    <xf borderId="1" fillId="0" fontId="5" numFmtId="0" xfId="0" applyAlignment="1" applyBorder="1" applyFont="1">
      <alignment horizontal="center" readingOrder="0" shrinkToFit="0" wrapText="1"/>
    </xf>
    <xf borderId="0" fillId="0" fontId="1" numFmtId="166" xfId="0" applyFont="1" applyNumberFormat="1"/>
    <xf borderId="0" fillId="0" fontId="1" numFmtId="0" xfId="0" applyAlignment="1" applyFont="1">
      <alignment horizontal="center" readingOrder="0" vertical="center"/>
    </xf>
    <xf borderId="0" fillId="0" fontId="5" numFmtId="0" xfId="0" applyAlignment="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32.38"/>
    <col customWidth="1" min="4" max="5" width="27.88"/>
  </cols>
  <sheetData>
    <row r="1">
      <c r="B1" s="1"/>
    </row>
    <row r="2">
      <c r="B2" s="1"/>
      <c r="C2" s="2" t="s">
        <v>0</v>
      </c>
      <c r="D2" s="2" t="s">
        <v>1</v>
      </c>
      <c r="E2" s="2" t="s">
        <v>2</v>
      </c>
    </row>
    <row r="3">
      <c r="B3" s="3" t="s">
        <v>3</v>
      </c>
      <c r="C3" s="3" t="s">
        <v>4</v>
      </c>
      <c r="D3" s="4" t="s">
        <v>5</v>
      </c>
      <c r="E3" s="4" t="s">
        <v>6</v>
      </c>
    </row>
    <row r="4">
      <c r="B4" s="3" t="s">
        <v>7</v>
      </c>
      <c r="C4" s="4" t="s">
        <v>8</v>
      </c>
      <c r="D4" s="4" t="s">
        <v>9</v>
      </c>
      <c r="E4" s="4" t="s">
        <v>10</v>
      </c>
    </row>
    <row r="5">
      <c r="B5" s="3"/>
    </row>
    <row r="6">
      <c r="B6" s="1"/>
    </row>
    <row r="7">
      <c r="B7" s="3"/>
    </row>
    <row r="8">
      <c r="B8" s="5" t="s">
        <v>11</v>
      </c>
    </row>
    <row r="9">
      <c r="B9" s="3" t="s">
        <v>12</v>
      </c>
      <c r="C9" s="3" t="s">
        <v>13</v>
      </c>
      <c r="D9" s="4" t="s">
        <v>14</v>
      </c>
    </row>
    <row r="10">
      <c r="B10" s="3" t="s">
        <v>15</v>
      </c>
      <c r="C10" s="3" t="s">
        <v>16</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6" t="s">
        <v>17</v>
      </c>
      <c r="B1" s="6" t="s">
        <v>18</v>
      </c>
      <c r="C1" s="6" t="s">
        <v>19</v>
      </c>
      <c r="D1" s="6" t="s">
        <v>20</v>
      </c>
      <c r="E1" s="6" t="s">
        <v>21</v>
      </c>
      <c r="F1" s="6" t="s">
        <v>22</v>
      </c>
    </row>
    <row r="2">
      <c r="A2" s="7">
        <v>76.8974</v>
      </c>
      <c r="B2" s="7">
        <v>11.0092</v>
      </c>
      <c r="C2" s="7">
        <v>4.00334</v>
      </c>
      <c r="D2" s="7">
        <v>2.41868</v>
      </c>
      <c r="E2" s="7">
        <v>2.08507</v>
      </c>
      <c r="F2" s="7">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6" t="s">
        <v>23</v>
      </c>
      <c r="B1" s="6" t="s">
        <v>17</v>
      </c>
      <c r="C1" s="6" t="s">
        <v>18</v>
      </c>
      <c r="D1" s="6" t="s">
        <v>19</v>
      </c>
      <c r="E1" s="6" t="s">
        <v>20</v>
      </c>
      <c r="F1" s="6" t="s">
        <v>21</v>
      </c>
      <c r="G1" s="6" t="s">
        <v>22</v>
      </c>
    </row>
    <row r="2">
      <c r="A2" s="7" t="s">
        <v>24</v>
      </c>
      <c r="B2" s="8">
        <v>81.8182</v>
      </c>
      <c r="C2" s="8">
        <v>22.7273</v>
      </c>
      <c r="D2" s="8">
        <v>4.54545</v>
      </c>
      <c r="E2" s="8">
        <v>4.54545</v>
      </c>
      <c r="F2" s="8">
        <v>4.54545</v>
      </c>
      <c r="G2" s="8">
        <v>4.54545</v>
      </c>
    </row>
    <row r="3">
      <c r="A3" s="7" t="s">
        <v>25</v>
      </c>
      <c r="B3" s="8">
        <v>80.6452</v>
      </c>
      <c r="C3" s="8">
        <v>9.67742</v>
      </c>
      <c r="D3" s="8">
        <v>3.22581</v>
      </c>
      <c r="E3" s="8">
        <v>3.22581</v>
      </c>
      <c r="F3" s="8">
        <v>3.22581</v>
      </c>
      <c r="G3" s="8">
        <v>3.22581</v>
      </c>
    </row>
    <row r="4">
      <c r="A4" s="7" t="s">
        <v>26</v>
      </c>
      <c r="B4" s="8">
        <v>79.7521</v>
      </c>
      <c r="C4" s="8">
        <v>13.2231</v>
      </c>
      <c r="D4" s="8">
        <v>4.13223</v>
      </c>
      <c r="E4" s="8">
        <v>3.30579</v>
      </c>
      <c r="F4" s="8">
        <v>2.89256</v>
      </c>
      <c r="G4" s="8">
        <v>2.47934</v>
      </c>
    </row>
    <row r="5">
      <c r="A5" s="7" t="s">
        <v>27</v>
      </c>
      <c r="B5" s="8">
        <v>84.5455</v>
      </c>
      <c r="C5" s="8">
        <v>10.0</v>
      </c>
      <c r="D5" s="8">
        <v>2.72727</v>
      </c>
      <c r="E5" s="8">
        <v>2.72727</v>
      </c>
      <c r="F5" s="8">
        <v>1.81818</v>
      </c>
      <c r="G5" s="8">
        <v>1.81818</v>
      </c>
    </row>
    <row r="6">
      <c r="A6" s="7" t="s">
        <v>28</v>
      </c>
      <c r="B6" s="8">
        <v>75.0</v>
      </c>
      <c r="C6" s="8">
        <v>8.75</v>
      </c>
      <c r="D6" s="8">
        <v>4.375</v>
      </c>
      <c r="E6" s="8">
        <v>1.875</v>
      </c>
      <c r="F6" s="8">
        <v>1.875</v>
      </c>
      <c r="G6" s="8">
        <v>1.25</v>
      </c>
    </row>
    <row r="7">
      <c r="A7" s="7" t="s">
        <v>29</v>
      </c>
      <c r="B7" s="8">
        <v>78.3505</v>
      </c>
      <c r="C7" s="8">
        <v>17.5258</v>
      </c>
      <c r="D7" s="8">
        <v>8.24742</v>
      </c>
      <c r="E7" s="8">
        <v>3.09278</v>
      </c>
      <c r="F7" s="8">
        <v>2.06186</v>
      </c>
      <c r="G7" s="8">
        <v>1.03093</v>
      </c>
    </row>
    <row r="8">
      <c r="A8" s="7" t="s">
        <v>30</v>
      </c>
      <c r="B8" s="8">
        <v>72.6027</v>
      </c>
      <c r="C8" s="8">
        <v>8.90411</v>
      </c>
      <c r="D8" s="8">
        <v>2.39726</v>
      </c>
      <c r="E8" s="8">
        <v>1.36986</v>
      </c>
      <c r="F8" s="8">
        <v>1.36986</v>
      </c>
      <c r="G8" s="8">
        <v>0.684932</v>
      </c>
    </row>
    <row r="9">
      <c r="A9" s="7" t="s">
        <v>31</v>
      </c>
      <c r="B9" s="8">
        <v>74.5763</v>
      </c>
      <c r="C9" s="8">
        <v>10.1695</v>
      </c>
      <c r="D9" s="8">
        <v>5.08475</v>
      </c>
      <c r="E9" s="8">
        <v>1.69492</v>
      </c>
      <c r="F9" s="8">
        <v>1.69492</v>
      </c>
      <c r="G9" s="8">
        <v>0.0</v>
      </c>
    </row>
    <row r="10">
      <c r="A10" s="7" t="s">
        <v>32</v>
      </c>
      <c r="B10" s="8">
        <v>76.3636</v>
      </c>
      <c r="C10" s="8">
        <v>9.69697</v>
      </c>
      <c r="D10" s="8">
        <v>4.84848</v>
      </c>
      <c r="E10" s="8">
        <v>3.0303</v>
      </c>
      <c r="F10" s="8">
        <v>2.42424</v>
      </c>
      <c r="G10" s="8">
        <v>0.0</v>
      </c>
    </row>
    <row r="11">
      <c r="A11" s="7" t="s">
        <v>33</v>
      </c>
      <c r="B11" s="8">
        <v>71.4286</v>
      </c>
      <c r="C11" s="8">
        <v>9.52381</v>
      </c>
      <c r="D11" s="8">
        <v>0.0</v>
      </c>
      <c r="E11" s="8">
        <v>0.0</v>
      </c>
      <c r="F11" s="8">
        <v>0.0</v>
      </c>
      <c r="G11" s="8">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7" t="s">
        <v>34</v>
      </c>
      <c r="B1" s="7" t="s">
        <v>35</v>
      </c>
      <c r="C1" s="7" t="s">
        <v>36</v>
      </c>
      <c r="D1" s="7" t="s">
        <v>37</v>
      </c>
      <c r="E1" s="7" t="s">
        <v>38</v>
      </c>
    </row>
    <row r="2">
      <c r="A2" s="9">
        <v>45658.0</v>
      </c>
      <c r="B2" s="7">
        <v>86.2</v>
      </c>
      <c r="C2" s="7">
        <v>56.2</v>
      </c>
      <c r="D2" s="7">
        <v>24.1</v>
      </c>
      <c r="E2" s="7">
        <v>3.0</v>
      </c>
    </row>
    <row r="3">
      <c r="A3" s="9">
        <v>45689.0</v>
      </c>
      <c r="B3" s="7">
        <v>86.8</v>
      </c>
      <c r="C3" s="7">
        <v>56.0</v>
      </c>
      <c r="D3" s="7">
        <v>24.6</v>
      </c>
      <c r="E3" s="7">
        <v>2.7</v>
      </c>
    </row>
    <row r="4">
      <c r="A4" s="9">
        <v>45717.0</v>
      </c>
      <c r="B4" s="7">
        <v>87.7</v>
      </c>
      <c r="C4" s="7">
        <v>56.8</v>
      </c>
      <c r="D4" s="7">
        <v>26.6</v>
      </c>
      <c r="E4" s="7">
        <v>3.0</v>
      </c>
    </row>
    <row r="5">
      <c r="A5" s="9">
        <v>45748.0</v>
      </c>
      <c r="B5" s="7">
        <v>87.2</v>
      </c>
      <c r="C5" s="7">
        <v>53.9</v>
      </c>
      <c r="D5" s="7">
        <v>23.0</v>
      </c>
      <c r="E5" s="7">
        <v>2.0</v>
      </c>
    </row>
    <row r="6">
      <c r="A6" s="9">
        <v>45778.0</v>
      </c>
      <c r="B6" s="7">
        <v>86.0</v>
      </c>
      <c r="C6" s="7">
        <v>54.5</v>
      </c>
      <c r="D6" s="7">
        <v>26.2</v>
      </c>
      <c r="E6" s="7">
        <v>3.0</v>
      </c>
    </row>
    <row r="7">
      <c r="A7" s="9">
        <v>45809.0</v>
      </c>
      <c r="B7" s="7">
        <v>85.9</v>
      </c>
      <c r="C7" s="7">
        <v>55.1</v>
      </c>
      <c r="D7" s="7">
        <v>25.2</v>
      </c>
      <c r="E7" s="7">
        <v>2.1</v>
      </c>
    </row>
    <row r="8">
      <c r="A8" s="9">
        <v>45839.0</v>
      </c>
      <c r="B8" s="7">
        <v>86.4</v>
      </c>
      <c r="C8" s="7">
        <v>56.4</v>
      </c>
      <c r="D8" s="7">
        <v>25.9</v>
      </c>
      <c r="E8" s="7">
        <v>2.7</v>
      </c>
    </row>
    <row r="9">
      <c r="A9" s="9">
        <v>45870.0</v>
      </c>
      <c r="B9" s="7">
        <v>70.8</v>
      </c>
      <c r="C9" s="7">
        <v>29.7</v>
      </c>
      <c r="D9" s="7">
        <v>7.5</v>
      </c>
      <c r="E9" s="7">
        <v>0.2</v>
      </c>
    </row>
  </sheetData>
  <conditionalFormatting sqref="B2:E9">
    <cfRule type="colorScale" priority="1">
      <colorScale>
        <cfvo type="min"/>
        <cfvo type="percentile" val="50"/>
        <cfvo type="max"/>
        <color rgb="FFCC0000"/>
        <color rgb="FFF1C232"/>
        <color rgb="FF6AA84F"/>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7" t="s">
        <v>23</v>
      </c>
      <c r="B1" s="7" t="s">
        <v>35</v>
      </c>
      <c r="C1" s="7" t="s">
        <v>36</v>
      </c>
      <c r="D1" s="7" t="s">
        <v>37</v>
      </c>
      <c r="E1" s="7" t="s">
        <v>38</v>
      </c>
    </row>
    <row r="2">
      <c r="A2" s="7" t="s">
        <v>28</v>
      </c>
      <c r="B2" s="7">
        <v>85.1</v>
      </c>
      <c r="C2" s="7">
        <v>52.3</v>
      </c>
      <c r="D2" s="7">
        <v>22.5</v>
      </c>
      <c r="E2" s="7">
        <v>1.8</v>
      </c>
      <c r="H2" s="10"/>
    </row>
    <row r="3">
      <c r="A3" s="7" t="s">
        <v>25</v>
      </c>
      <c r="B3" s="7">
        <v>80.8</v>
      </c>
      <c r="C3" s="7">
        <v>46.8</v>
      </c>
      <c r="D3" s="7">
        <v>19.2</v>
      </c>
      <c r="E3" s="7">
        <v>2.5</v>
      </c>
      <c r="H3" s="10"/>
    </row>
    <row r="4">
      <c r="A4" s="7" t="s">
        <v>30</v>
      </c>
      <c r="B4" s="7">
        <v>87.2</v>
      </c>
      <c r="C4" s="7">
        <v>54.4</v>
      </c>
      <c r="D4" s="7">
        <v>24.4</v>
      </c>
      <c r="E4" s="7">
        <v>2.5</v>
      </c>
      <c r="H4" s="10"/>
    </row>
    <row r="5">
      <c r="A5" s="7" t="s">
        <v>29</v>
      </c>
      <c r="B5" s="7">
        <v>83.7</v>
      </c>
      <c r="C5" s="7">
        <v>51.8</v>
      </c>
      <c r="D5" s="7">
        <v>22.1</v>
      </c>
      <c r="E5" s="7">
        <v>1.7</v>
      </c>
      <c r="H5" s="10"/>
    </row>
    <row r="6">
      <c r="A6" s="7" t="s">
        <v>32</v>
      </c>
      <c r="B6" s="7">
        <v>84.5</v>
      </c>
      <c r="C6" s="7">
        <v>52.0</v>
      </c>
      <c r="D6" s="7">
        <v>21.8</v>
      </c>
      <c r="E6" s="7">
        <v>1.6</v>
      </c>
      <c r="H6" s="10"/>
    </row>
    <row r="7">
      <c r="A7" s="7" t="s">
        <v>31</v>
      </c>
      <c r="B7" s="7">
        <v>79.1</v>
      </c>
      <c r="C7" s="7">
        <v>50.0</v>
      </c>
      <c r="D7" s="7">
        <v>20.6</v>
      </c>
      <c r="E7" s="7">
        <v>2.5</v>
      </c>
      <c r="H7" s="10"/>
    </row>
    <row r="8">
      <c r="A8" s="7" t="s">
        <v>26</v>
      </c>
      <c r="B8" s="7">
        <v>86.1</v>
      </c>
      <c r="C8" s="7">
        <v>55.8</v>
      </c>
      <c r="D8" s="7">
        <v>25.5</v>
      </c>
      <c r="E8" s="7">
        <v>3.1</v>
      </c>
      <c r="H8" s="10"/>
    </row>
    <row r="9">
      <c r="A9" s="7" t="s">
        <v>33</v>
      </c>
      <c r="B9" s="7">
        <v>80.9</v>
      </c>
      <c r="C9" s="7">
        <v>49.1</v>
      </c>
      <c r="D9" s="7">
        <v>22.1</v>
      </c>
      <c r="E9" s="7">
        <v>2.1</v>
      </c>
      <c r="H9" s="10"/>
    </row>
    <row r="10">
      <c r="A10" s="7" t="s">
        <v>27</v>
      </c>
      <c r="B10" s="7">
        <v>84.3</v>
      </c>
      <c r="C10" s="7">
        <v>51.1</v>
      </c>
      <c r="D10" s="7">
        <v>22.9</v>
      </c>
      <c r="E10" s="7">
        <v>3.2</v>
      </c>
      <c r="H10" s="10"/>
    </row>
    <row r="11">
      <c r="A11" s="7" t="s">
        <v>24</v>
      </c>
      <c r="B11" s="7">
        <v>86.1</v>
      </c>
      <c r="C11" s="7">
        <v>48.8</v>
      </c>
      <c r="D11" s="7">
        <v>23.0</v>
      </c>
      <c r="E11" s="7">
        <v>2.5</v>
      </c>
      <c r="H11" s="10"/>
    </row>
  </sheetData>
  <autoFilter ref="$A$1:$J$11">
    <sortState ref="A1:J11">
      <sortCondition ref="A1:A11"/>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25.63"/>
    <col customWidth="1" min="2" max="2" width="20.25"/>
    <col customWidth="1" min="3" max="3" width="23.5"/>
    <col customWidth="1" min="4" max="4" width="1.63"/>
    <col customWidth="1" min="5" max="5" width="14.5"/>
    <col customWidth="1" min="6" max="6" width="20.63"/>
    <col customWidth="1" min="7" max="7" width="18.25"/>
  </cols>
  <sheetData>
    <row r="1">
      <c r="A1" s="11" t="s">
        <v>39</v>
      </c>
      <c r="B1" s="11" t="s">
        <v>40</v>
      </c>
      <c r="C1" s="12" t="s">
        <v>41</v>
      </c>
      <c r="D1" s="13"/>
      <c r="E1" s="14" t="s">
        <v>42</v>
      </c>
      <c r="F1" s="15" t="s">
        <v>43</v>
      </c>
      <c r="G1" s="6"/>
    </row>
    <row r="2">
      <c r="A2" s="16" t="s">
        <v>17</v>
      </c>
      <c r="B2" s="17">
        <v>76.8974</v>
      </c>
      <c r="C2" s="18" t="s">
        <v>44</v>
      </c>
      <c r="D2" s="19"/>
      <c r="E2" s="20">
        <f>MAX(C3:C7)</f>
        <v>65.8882</v>
      </c>
      <c r="F2" s="21" t="str">
        <f t="array" ref="F2">INDEX(A3:A7, MATCH(MAX(C3:C7), C3:C7, 0))</f>
        <v>conversion_add_to_cart</v>
      </c>
      <c r="G2" s="6"/>
    </row>
    <row r="3">
      <c r="A3" s="16" t="s">
        <v>18</v>
      </c>
      <c r="B3" s="17">
        <v>11.0092</v>
      </c>
      <c r="C3" s="22">
        <f t="shared" ref="C3:C7" si="1">B2-B3</f>
        <v>65.8882</v>
      </c>
      <c r="D3" s="23"/>
    </row>
    <row r="4">
      <c r="A4" s="16" t="s">
        <v>19</v>
      </c>
      <c r="B4" s="17">
        <v>4.00334</v>
      </c>
      <c r="C4" s="24">
        <f t="shared" si="1"/>
        <v>7.00586</v>
      </c>
      <c r="D4" s="23"/>
    </row>
    <row r="5">
      <c r="A5" s="16" t="s">
        <v>20</v>
      </c>
      <c r="B5" s="17">
        <v>2.41868</v>
      </c>
      <c r="C5" s="24">
        <f t="shared" si="1"/>
        <v>1.58466</v>
      </c>
      <c r="D5" s="23"/>
    </row>
    <row r="6">
      <c r="A6" s="16" t="s">
        <v>21</v>
      </c>
      <c r="B6" s="17">
        <v>2.08507</v>
      </c>
      <c r="C6" s="24">
        <f t="shared" si="1"/>
        <v>0.33361</v>
      </c>
      <c r="D6" s="23"/>
    </row>
    <row r="7">
      <c r="A7" s="16" t="s">
        <v>22</v>
      </c>
      <c r="B7" s="17">
        <v>1.25104</v>
      </c>
      <c r="C7" s="24">
        <f t="shared" si="1"/>
        <v>0.83403</v>
      </c>
      <c r="D7" s="2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 customWidth="1" min="8" max="8" width="2.0"/>
    <col customWidth="1" min="9" max="9" width="15.13"/>
  </cols>
  <sheetData>
    <row r="1">
      <c r="A1" s="6" t="s">
        <v>23</v>
      </c>
      <c r="B1" s="6" t="s">
        <v>17</v>
      </c>
      <c r="C1" s="6" t="s">
        <v>18</v>
      </c>
      <c r="D1" s="6" t="s">
        <v>19</v>
      </c>
      <c r="E1" s="6" t="s">
        <v>20</v>
      </c>
      <c r="F1" s="6" t="s">
        <v>21</v>
      </c>
      <c r="G1" s="6" t="s">
        <v>22</v>
      </c>
    </row>
    <row r="2">
      <c r="A2" s="7" t="s">
        <v>24</v>
      </c>
      <c r="B2" s="8">
        <v>81.8182</v>
      </c>
      <c r="C2" s="8">
        <v>22.7273</v>
      </c>
      <c r="D2" s="8">
        <v>4.54545</v>
      </c>
      <c r="E2" s="8">
        <v>4.54545</v>
      </c>
      <c r="F2" s="8">
        <v>4.54545</v>
      </c>
      <c r="G2" s="8">
        <v>4.54545</v>
      </c>
    </row>
    <row r="3">
      <c r="A3" s="7" t="s">
        <v>25</v>
      </c>
      <c r="B3" s="8">
        <v>80.6452</v>
      </c>
      <c r="C3" s="8">
        <v>9.67742</v>
      </c>
      <c r="D3" s="8">
        <v>3.22581</v>
      </c>
      <c r="E3" s="8">
        <v>3.22581</v>
      </c>
      <c r="F3" s="8">
        <v>3.22581</v>
      </c>
      <c r="G3" s="8">
        <v>3.22581</v>
      </c>
    </row>
    <row r="4">
      <c r="A4" s="7" t="s">
        <v>26</v>
      </c>
      <c r="B4" s="8">
        <v>79.7521</v>
      </c>
      <c r="C4" s="8">
        <v>13.2231</v>
      </c>
      <c r="D4" s="8">
        <v>4.13223</v>
      </c>
      <c r="E4" s="8">
        <v>3.30579</v>
      </c>
      <c r="F4" s="8">
        <v>2.89256</v>
      </c>
      <c r="G4" s="8">
        <v>2.47934</v>
      </c>
    </row>
    <row r="5">
      <c r="A5" s="7" t="s">
        <v>27</v>
      </c>
      <c r="B5" s="8">
        <v>84.5455</v>
      </c>
      <c r="C5" s="8">
        <v>10.0</v>
      </c>
      <c r="D5" s="8">
        <v>2.72727</v>
      </c>
      <c r="E5" s="8">
        <v>2.72727</v>
      </c>
      <c r="F5" s="8">
        <v>1.81818</v>
      </c>
      <c r="G5" s="8">
        <v>1.81818</v>
      </c>
    </row>
    <row r="6">
      <c r="A6" s="7" t="s">
        <v>28</v>
      </c>
      <c r="B6" s="8">
        <v>75.0</v>
      </c>
      <c r="C6" s="8">
        <v>8.75</v>
      </c>
      <c r="D6" s="8">
        <v>4.375</v>
      </c>
      <c r="E6" s="8">
        <v>1.875</v>
      </c>
      <c r="F6" s="8">
        <v>1.875</v>
      </c>
      <c r="G6" s="8">
        <v>1.25</v>
      </c>
    </row>
    <row r="7">
      <c r="A7" s="7" t="s">
        <v>29</v>
      </c>
      <c r="B7" s="8">
        <v>78.3505</v>
      </c>
      <c r="C7" s="8">
        <v>17.5258</v>
      </c>
      <c r="D7" s="8">
        <v>8.24742</v>
      </c>
      <c r="E7" s="8">
        <v>3.09278</v>
      </c>
      <c r="F7" s="8">
        <v>2.06186</v>
      </c>
      <c r="G7" s="8">
        <v>1.03093</v>
      </c>
    </row>
    <row r="8">
      <c r="A8" s="7" t="s">
        <v>30</v>
      </c>
      <c r="B8" s="8">
        <v>72.6027</v>
      </c>
      <c r="C8" s="8">
        <v>8.90411</v>
      </c>
      <c r="D8" s="8">
        <v>2.39726</v>
      </c>
      <c r="E8" s="8">
        <v>1.36986</v>
      </c>
      <c r="F8" s="8">
        <v>1.36986</v>
      </c>
      <c r="G8" s="8">
        <v>0.684932</v>
      </c>
    </row>
    <row r="9">
      <c r="A9" s="7" t="s">
        <v>31</v>
      </c>
      <c r="B9" s="8">
        <v>74.5763</v>
      </c>
      <c r="C9" s="8">
        <v>10.1695</v>
      </c>
      <c r="D9" s="8">
        <v>5.08475</v>
      </c>
      <c r="E9" s="8">
        <v>1.69492</v>
      </c>
      <c r="F9" s="8">
        <v>1.69492</v>
      </c>
      <c r="G9" s="8">
        <v>0.0</v>
      </c>
    </row>
    <row r="10">
      <c r="A10" s="7" t="s">
        <v>32</v>
      </c>
      <c r="B10" s="8">
        <v>76.3636</v>
      </c>
      <c r="C10" s="8">
        <v>9.69697</v>
      </c>
      <c r="D10" s="8">
        <v>4.84848</v>
      </c>
      <c r="E10" s="8">
        <v>3.0303</v>
      </c>
      <c r="F10" s="8">
        <v>2.42424</v>
      </c>
      <c r="G10" s="8">
        <v>0.0</v>
      </c>
    </row>
    <row r="11">
      <c r="A11" s="7" t="s">
        <v>33</v>
      </c>
      <c r="B11" s="8">
        <v>71.4286</v>
      </c>
      <c r="C11" s="8">
        <v>9.52381</v>
      </c>
      <c r="D11" s="8">
        <v>0.0</v>
      </c>
      <c r="E11" s="8">
        <v>0.0</v>
      </c>
      <c r="F11" s="8">
        <v>0.0</v>
      </c>
      <c r="G11" s="8">
        <v>0.0</v>
      </c>
    </row>
    <row r="12" ht="9.75" customHeight="1"/>
    <row r="13">
      <c r="B13" s="7" t="s">
        <v>45</v>
      </c>
    </row>
    <row r="14">
      <c r="A14" s="6" t="s">
        <v>23</v>
      </c>
      <c r="B14" s="6" t="s">
        <v>17</v>
      </c>
      <c r="C14" s="6" t="s">
        <v>18</v>
      </c>
      <c r="D14" s="6" t="s">
        <v>19</v>
      </c>
      <c r="E14" s="6" t="s">
        <v>20</v>
      </c>
      <c r="F14" s="6" t="s">
        <v>21</v>
      </c>
      <c r="G14" s="6" t="s">
        <v>22</v>
      </c>
      <c r="I14" s="25" t="s">
        <v>42</v>
      </c>
      <c r="J14" s="26" t="s">
        <v>46</v>
      </c>
    </row>
    <row r="15">
      <c r="A15" s="7" t="s">
        <v>24</v>
      </c>
      <c r="B15" s="7" t="s">
        <v>44</v>
      </c>
      <c r="C15" s="27">
        <f t="shared" ref="C15:G15" si="1">B2-C2</f>
        <v>59.0909</v>
      </c>
      <c r="D15" s="27">
        <f t="shared" si="1"/>
        <v>18.18185</v>
      </c>
      <c r="E15" s="27">
        <f t="shared" si="1"/>
        <v>0</v>
      </c>
      <c r="F15" s="27">
        <f t="shared" si="1"/>
        <v>0</v>
      </c>
      <c r="G15" s="27">
        <f t="shared" si="1"/>
        <v>0</v>
      </c>
      <c r="I15" s="28">
        <f>MAX(C15:G24)</f>
        <v>74.5455</v>
      </c>
      <c r="J15" s="29" t="str">
        <f t="array" ref="J15">INDEX(A15:A24, MATCH(MAX(C15:G24), C15:C24, 0))</f>
        <v>Peru</v>
      </c>
    </row>
    <row r="16">
      <c r="A16" s="7" t="s">
        <v>25</v>
      </c>
      <c r="B16" s="7" t="s">
        <v>44</v>
      </c>
      <c r="C16" s="27">
        <f t="shared" ref="C16:G16" si="2">B3-C3</f>
        <v>70.96778</v>
      </c>
      <c r="D16" s="27">
        <f t="shared" si="2"/>
        <v>6.45161</v>
      </c>
      <c r="E16" s="27">
        <f t="shared" si="2"/>
        <v>0</v>
      </c>
      <c r="F16" s="27">
        <f t="shared" si="2"/>
        <v>0</v>
      </c>
      <c r="G16" s="27">
        <f t="shared" si="2"/>
        <v>0</v>
      </c>
    </row>
    <row r="17">
      <c r="A17" s="7" t="s">
        <v>26</v>
      </c>
      <c r="B17" s="7" t="s">
        <v>44</v>
      </c>
      <c r="C17" s="27">
        <f t="shared" ref="C17:G17" si="3">B4-C4</f>
        <v>66.529</v>
      </c>
      <c r="D17" s="27">
        <f t="shared" si="3"/>
        <v>9.09087</v>
      </c>
      <c r="E17" s="27">
        <f t="shared" si="3"/>
        <v>0.82644</v>
      </c>
      <c r="F17" s="27">
        <f t="shared" si="3"/>
        <v>0.41323</v>
      </c>
      <c r="G17" s="27">
        <f t="shared" si="3"/>
        <v>0.41322</v>
      </c>
    </row>
    <row r="18">
      <c r="A18" s="7" t="s">
        <v>27</v>
      </c>
      <c r="B18" s="7" t="s">
        <v>44</v>
      </c>
      <c r="C18" s="30">
        <f t="shared" ref="C18:G18" si="4">B5-C5</f>
        <v>74.5455</v>
      </c>
      <c r="D18" s="27">
        <f t="shared" si="4"/>
        <v>7.27273</v>
      </c>
      <c r="E18" s="27">
        <f t="shared" si="4"/>
        <v>0</v>
      </c>
      <c r="F18" s="27">
        <f t="shared" si="4"/>
        <v>0.90909</v>
      </c>
      <c r="G18" s="27">
        <f t="shared" si="4"/>
        <v>0</v>
      </c>
    </row>
    <row r="19">
      <c r="A19" s="7" t="s">
        <v>28</v>
      </c>
      <c r="B19" s="7" t="s">
        <v>44</v>
      </c>
      <c r="C19" s="27">
        <f t="shared" ref="C19:G19" si="5">B6-C6</f>
        <v>66.25</v>
      </c>
      <c r="D19" s="27">
        <f t="shared" si="5"/>
        <v>4.375</v>
      </c>
      <c r="E19" s="27">
        <f t="shared" si="5"/>
        <v>2.5</v>
      </c>
      <c r="F19" s="27">
        <f t="shared" si="5"/>
        <v>0</v>
      </c>
      <c r="G19" s="27">
        <f t="shared" si="5"/>
        <v>0.625</v>
      </c>
    </row>
    <row r="20">
      <c r="A20" s="7" t="s">
        <v>29</v>
      </c>
      <c r="B20" s="7" t="s">
        <v>44</v>
      </c>
      <c r="C20" s="27">
        <f t="shared" ref="C20:G20" si="6">B7-C7</f>
        <v>60.8247</v>
      </c>
      <c r="D20" s="27">
        <f t="shared" si="6"/>
        <v>9.27838</v>
      </c>
      <c r="E20" s="27">
        <f t="shared" si="6"/>
        <v>5.15464</v>
      </c>
      <c r="F20" s="27">
        <f t="shared" si="6"/>
        <v>1.03092</v>
      </c>
      <c r="G20" s="27">
        <f t="shared" si="6"/>
        <v>1.03093</v>
      </c>
    </row>
    <row r="21">
      <c r="A21" s="7" t="s">
        <v>30</v>
      </c>
      <c r="B21" s="7" t="s">
        <v>44</v>
      </c>
      <c r="C21" s="27">
        <f t="shared" ref="C21:G21" si="7">B8-C8</f>
        <v>63.69859</v>
      </c>
      <c r="D21" s="27">
        <f t="shared" si="7"/>
        <v>6.50685</v>
      </c>
      <c r="E21" s="27">
        <f t="shared" si="7"/>
        <v>1.0274</v>
      </c>
      <c r="F21" s="27">
        <f t="shared" si="7"/>
        <v>0</v>
      </c>
      <c r="G21" s="27">
        <f t="shared" si="7"/>
        <v>0.684928</v>
      </c>
    </row>
    <row r="22">
      <c r="A22" s="7" t="s">
        <v>31</v>
      </c>
      <c r="B22" s="7" t="s">
        <v>44</v>
      </c>
      <c r="C22" s="27">
        <f t="shared" ref="C22:G22" si="8">B9-C9</f>
        <v>64.4068</v>
      </c>
      <c r="D22" s="27">
        <f t="shared" si="8"/>
        <v>5.08475</v>
      </c>
      <c r="E22" s="27">
        <f t="shared" si="8"/>
        <v>3.38983</v>
      </c>
      <c r="F22" s="27">
        <f t="shared" si="8"/>
        <v>0</v>
      </c>
      <c r="G22" s="27">
        <f t="shared" si="8"/>
        <v>1.69492</v>
      </c>
    </row>
    <row r="23">
      <c r="A23" s="7" t="s">
        <v>32</v>
      </c>
      <c r="B23" s="7" t="s">
        <v>44</v>
      </c>
      <c r="C23" s="27">
        <f t="shared" ref="C23:G23" si="9">B10-C10</f>
        <v>66.66663</v>
      </c>
      <c r="D23" s="27">
        <f t="shared" si="9"/>
        <v>4.84849</v>
      </c>
      <c r="E23" s="27">
        <f t="shared" si="9"/>
        <v>1.81818</v>
      </c>
      <c r="F23" s="27">
        <f t="shared" si="9"/>
        <v>0.60606</v>
      </c>
      <c r="G23" s="27">
        <f t="shared" si="9"/>
        <v>2.42424</v>
      </c>
    </row>
    <row r="24">
      <c r="A24" s="7" t="s">
        <v>33</v>
      </c>
      <c r="B24" s="7" t="s">
        <v>44</v>
      </c>
      <c r="C24" s="27">
        <f t="shared" ref="C24:G24" si="10">B11-C11</f>
        <v>61.90479</v>
      </c>
      <c r="D24" s="27">
        <f t="shared" si="10"/>
        <v>9.52381</v>
      </c>
      <c r="E24" s="27">
        <f t="shared" si="10"/>
        <v>0</v>
      </c>
      <c r="F24" s="27">
        <f t="shared" si="10"/>
        <v>0</v>
      </c>
      <c r="G24" s="27">
        <f t="shared" si="10"/>
        <v>0</v>
      </c>
    </row>
  </sheetData>
  <mergeCells count="1">
    <mergeCell ref="B13:G1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 customWidth="1" min="6" max="6" width="3.13"/>
    <col customWidth="1" min="7" max="7" width="9.38"/>
    <col customWidth="1" min="8" max="8" width="8.38"/>
    <col customWidth="1" min="9" max="9" width="10.63"/>
    <col customWidth="1" min="10" max="10" width="9.63"/>
  </cols>
  <sheetData>
    <row r="1">
      <c r="A1" s="31" t="s">
        <v>34</v>
      </c>
      <c r="B1" s="31" t="s">
        <v>35</v>
      </c>
      <c r="C1" s="31" t="s">
        <v>36</v>
      </c>
      <c r="D1" s="31" t="s">
        <v>37</v>
      </c>
      <c r="E1" s="31" t="s">
        <v>38</v>
      </c>
      <c r="F1" s="7"/>
      <c r="G1" s="32" t="s">
        <v>47</v>
      </c>
    </row>
    <row r="2" ht="27.0" customHeight="1">
      <c r="F2" s="7"/>
      <c r="G2" s="33" t="s">
        <v>35</v>
      </c>
      <c r="H2" s="33" t="s">
        <v>36</v>
      </c>
      <c r="I2" s="33" t="s">
        <v>37</v>
      </c>
      <c r="J2" s="33" t="s">
        <v>38</v>
      </c>
    </row>
    <row r="3">
      <c r="A3" s="9">
        <v>45658.0</v>
      </c>
      <c r="B3" s="7">
        <v>86.2</v>
      </c>
      <c r="C3" s="7">
        <v>56.2</v>
      </c>
      <c r="D3" s="7">
        <v>24.1</v>
      </c>
      <c r="E3" s="7">
        <v>3.0</v>
      </c>
      <c r="F3" s="7"/>
      <c r="G3" s="34">
        <f t="shared" ref="G3:J3" si="1">AVERAGE(B3:B8)</f>
        <v>86.63333333</v>
      </c>
      <c r="H3" s="34">
        <f t="shared" si="1"/>
        <v>55.41666667</v>
      </c>
      <c r="I3" s="34">
        <f t="shared" si="1"/>
        <v>24.95</v>
      </c>
      <c r="J3" s="34">
        <f t="shared" si="1"/>
        <v>2.633333333</v>
      </c>
    </row>
    <row r="4">
      <c r="A4" s="9">
        <v>45689.0</v>
      </c>
      <c r="B4" s="7">
        <v>86.8</v>
      </c>
      <c r="C4" s="7">
        <v>56.0</v>
      </c>
      <c r="D4" s="7">
        <v>24.6</v>
      </c>
      <c r="E4" s="7">
        <v>2.7</v>
      </c>
      <c r="F4" s="7"/>
      <c r="G4" s="7"/>
      <c r="H4" s="7"/>
      <c r="I4" s="7"/>
      <c r="J4" s="7"/>
    </row>
    <row r="5">
      <c r="A5" s="9">
        <v>45717.0</v>
      </c>
      <c r="B5" s="7">
        <v>87.7</v>
      </c>
      <c r="C5" s="7">
        <v>56.8</v>
      </c>
      <c r="D5" s="7">
        <v>26.6</v>
      </c>
      <c r="E5" s="7">
        <v>3.0</v>
      </c>
      <c r="F5" s="7"/>
      <c r="G5" s="7"/>
      <c r="H5" s="7"/>
      <c r="I5" s="7"/>
      <c r="J5" s="7"/>
    </row>
    <row r="6">
      <c r="A6" s="9">
        <v>45748.0</v>
      </c>
      <c r="B6" s="7">
        <v>87.2</v>
      </c>
      <c r="C6" s="7">
        <v>53.9</v>
      </c>
      <c r="D6" s="7">
        <v>23.0</v>
      </c>
      <c r="E6" s="7">
        <v>2.0</v>
      </c>
      <c r="F6" s="7"/>
      <c r="G6" s="7"/>
      <c r="H6" s="7"/>
      <c r="I6" s="7"/>
      <c r="J6" s="7"/>
    </row>
    <row r="7">
      <c r="A7" s="9">
        <v>45778.0</v>
      </c>
      <c r="B7" s="7">
        <v>86.0</v>
      </c>
      <c r="C7" s="7">
        <v>54.5</v>
      </c>
      <c r="D7" s="7">
        <v>26.2</v>
      </c>
      <c r="E7" s="7">
        <v>3.0</v>
      </c>
      <c r="F7" s="7"/>
      <c r="G7" s="7"/>
      <c r="H7" s="7"/>
      <c r="I7" s="7"/>
      <c r="J7" s="7"/>
    </row>
    <row r="8">
      <c r="A8" s="9">
        <v>45809.0</v>
      </c>
      <c r="B8" s="7">
        <v>85.9</v>
      </c>
      <c r="C8" s="7">
        <v>55.1</v>
      </c>
      <c r="D8" s="7">
        <v>25.2</v>
      </c>
      <c r="E8" s="7">
        <v>2.1</v>
      </c>
      <c r="F8" s="7"/>
      <c r="G8" s="7"/>
      <c r="H8" s="7"/>
      <c r="I8" s="7"/>
      <c r="J8" s="7"/>
    </row>
  </sheetData>
  <mergeCells count="6">
    <mergeCell ref="A1:A2"/>
    <mergeCell ref="B1:B2"/>
    <mergeCell ref="C1:C2"/>
    <mergeCell ref="D1:D2"/>
    <mergeCell ref="E1:E2"/>
    <mergeCell ref="G1:J1"/>
  </mergeCells>
  <conditionalFormatting sqref="B3:J8">
    <cfRule type="colorScale" priority="1">
      <colorScale>
        <cfvo type="min"/>
        <cfvo type="percentile" val="50"/>
        <cfvo type="max"/>
        <color rgb="FFCC0000"/>
        <color rgb="FFF1C232"/>
        <color rgb="FF6AA84F"/>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 customWidth="1" min="6" max="6" width="2.75"/>
    <col customWidth="1" min="7" max="7" width="8.88"/>
    <col customWidth="1" min="8" max="8" width="8.75"/>
    <col customWidth="1" min="9" max="9" width="8.5"/>
    <col customWidth="1" min="10" max="10" width="7.5"/>
  </cols>
  <sheetData>
    <row r="1">
      <c r="A1" s="35" t="s">
        <v>23</v>
      </c>
      <c r="B1" s="35" t="s">
        <v>35</v>
      </c>
      <c r="C1" s="35" t="s">
        <v>36</v>
      </c>
      <c r="D1" s="35" t="s">
        <v>37</v>
      </c>
      <c r="E1" s="35" t="s">
        <v>38</v>
      </c>
      <c r="G1" s="32" t="s">
        <v>48</v>
      </c>
    </row>
    <row r="2">
      <c r="G2" s="36" t="s">
        <v>35</v>
      </c>
      <c r="H2" s="36" t="s">
        <v>36</v>
      </c>
      <c r="I2" s="36" t="s">
        <v>37</v>
      </c>
      <c r="J2" s="36" t="s">
        <v>38</v>
      </c>
    </row>
    <row r="3">
      <c r="A3" s="7" t="s">
        <v>28</v>
      </c>
      <c r="B3" s="7">
        <v>85.1</v>
      </c>
      <c r="C3" s="7">
        <v>52.3</v>
      </c>
      <c r="D3" s="7">
        <v>22.5</v>
      </c>
      <c r="E3" s="7">
        <v>1.8</v>
      </c>
      <c r="G3" s="34">
        <f t="shared" ref="G3:J3" si="1">AVERAGE(B3:B12)</f>
        <v>83.78</v>
      </c>
      <c r="H3" s="34">
        <f t="shared" si="1"/>
        <v>51.21</v>
      </c>
      <c r="I3" s="34">
        <f t="shared" si="1"/>
        <v>22.41</v>
      </c>
      <c r="J3" s="34">
        <f t="shared" si="1"/>
        <v>2.35</v>
      </c>
    </row>
    <row r="4">
      <c r="A4" s="7" t="s">
        <v>25</v>
      </c>
      <c r="B4" s="7">
        <v>80.8</v>
      </c>
      <c r="C4" s="7">
        <v>46.8</v>
      </c>
      <c r="D4" s="7">
        <v>19.2</v>
      </c>
      <c r="E4" s="7">
        <v>2.5</v>
      </c>
      <c r="G4" s="34"/>
      <c r="H4" s="34"/>
      <c r="I4" s="34"/>
      <c r="J4" s="34"/>
    </row>
    <row r="5">
      <c r="A5" s="7" t="s">
        <v>30</v>
      </c>
      <c r="B5" s="7">
        <v>87.2</v>
      </c>
      <c r="C5" s="7">
        <v>54.4</v>
      </c>
      <c r="D5" s="7">
        <v>24.4</v>
      </c>
      <c r="E5" s="7">
        <v>2.5</v>
      </c>
      <c r="G5" s="34"/>
      <c r="H5" s="34"/>
      <c r="I5" s="34"/>
      <c r="J5" s="34"/>
    </row>
    <row r="6">
      <c r="A6" s="7" t="s">
        <v>29</v>
      </c>
      <c r="B6" s="7">
        <v>83.7</v>
      </c>
      <c r="C6" s="7">
        <v>51.8</v>
      </c>
      <c r="D6" s="7">
        <v>22.1</v>
      </c>
      <c r="E6" s="7">
        <v>1.7</v>
      </c>
      <c r="G6" s="34"/>
      <c r="H6" s="34"/>
      <c r="I6" s="34"/>
      <c r="J6" s="34"/>
    </row>
    <row r="7">
      <c r="A7" s="7" t="s">
        <v>32</v>
      </c>
      <c r="B7" s="7">
        <v>84.5</v>
      </c>
      <c r="C7" s="7">
        <v>52.0</v>
      </c>
      <c r="D7" s="7">
        <v>21.8</v>
      </c>
      <c r="E7" s="7">
        <v>1.6</v>
      </c>
      <c r="G7" s="34"/>
      <c r="H7" s="34"/>
      <c r="I7" s="34"/>
      <c r="J7" s="34"/>
    </row>
    <row r="8">
      <c r="A8" s="7" t="s">
        <v>31</v>
      </c>
      <c r="B8" s="7">
        <v>79.1</v>
      </c>
      <c r="C8" s="7">
        <v>50.0</v>
      </c>
      <c r="D8" s="7">
        <v>20.6</v>
      </c>
      <c r="E8" s="7">
        <v>2.5</v>
      </c>
      <c r="G8" s="34"/>
      <c r="H8" s="34"/>
      <c r="I8" s="34"/>
      <c r="J8" s="34"/>
    </row>
    <row r="9">
      <c r="A9" s="7" t="s">
        <v>26</v>
      </c>
      <c r="B9" s="7">
        <v>86.1</v>
      </c>
      <c r="C9" s="7">
        <v>55.8</v>
      </c>
      <c r="D9" s="7">
        <v>25.5</v>
      </c>
      <c r="E9" s="7">
        <v>3.1</v>
      </c>
      <c r="G9" s="34"/>
      <c r="H9" s="34"/>
      <c r="I9" s="34"/>
      <c r="J9" s="34"/>
    </row>
    <row r="10">
      <c r="A10" s="7" t="s">
        <v>33</v>
      </c>
      <c r="B10" s="7">
        <v>80.9</v>
      </c>
      <c r="C10" s="7">
        <v>49.1</v>
      </c>
      <c r="D10" s="7">
        <v>22.1</v>
      </c>
      <c r="E10" s="7">
        <v>2.1</v>
      </c>
      <c r="G10" s="34"/>
      <c r="H10" s="34"/>
      <c r="I10" s="34"/>
      <c r="J10" s="34"/>
    </row>
    <row r="11">
      <c r="A11" s="7" t="s">
        <v>27</v>
      </c>
      <c r="B11" s="7">
        <v>84.3</v>
      </c>
      <c r="C11" s="7">
        <v>51.1</v>
      </c>
      <c r="D11" s="7">
        <v>22.9</v>
      </c>
      <c r="E11" s="7">
        <v>3.2</v>
      </c>
      <c r="G11" s="34"/>
      <c r="H11" s="34"/>
      <c r="I11" s="34"/>
      <c r="J11" s="34"/>
    </row>
    <row r="12">
      <c r="A12" s="7" t="s">
        <v>24</v>
      </c>
      <c r="B12" s="7">
        <v>86.1</v>
      </c>
      <c r="C12" s="7">
        <v>48.8</v>
      </c>
      <c r="D12" s="7">
        <v>23.0</v>
      </c>
      <c r="E12" s="7">
        <v>2.5</v>
      </c>
      <c r="G12" s="34"/>
      <c r="H12" s="34"/>
      <c r="I12" s="34"/>
      <c r="J12" s="34"/>
    </row>
  </sheetData>
  <mergeCells count="6">
    <mergeCell ref="A1:A2"/>
    <mergeCell ref="B1:B2"/>
    <mergeCell ref="C1:C2"/>
    <mergeCell ref="D1:D2"/>
    <mergeCell ref="E1:E2"/>
    <mergeCell ref="G1:J1"/>
  </mergeCells>
  <conditionalFormatting sqref="B3:E12">
    <cfRule type="colorScale" priority="1">
      <colorScale>
        <cfvo type="min"/>
        <cfvo type="percentile" val="50"/>
        <cfvo type="max"/>
        <color rgb="FFCC0000"/>
        <color rgb="FFFFD666"/>
        <color rgb="FF6AA84F"/>
      </colorScale>
    </cfRule>
  </conditionalFormatting>
  <conditionalFormatting sqref="G3:J3">
    <cfRule type="colorScale" priority="2">
      <colorScale>
        <cfvo type="min"/>
        <cfvo type="percentile" val="50"/>
        <cfvo type="max"/>
        <color rgb="FFCC0000"/>
        <color rgb="FFFFD666"/>
        <color rgb="FF6AA84F"/>
      </colorScale>
    </cfRule>
  </conditionalFormatting>
  <drawing r:id="rId1"/>
</worksheet>
</file>